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kimb\Desktop\STUDIES\3rd Sem\MODELS AND METHODS FOR ENERGY ENGINEERING\Project\"/>
    </mc:Choice>
  </mc:AlternateContent>
  <xr:revisionPtr revIDLastSave="0" documentId="13_ncr:1_{B22E44A4-94B5-456B-A424-CCA44035E245}" xr6:coauthVersionLast="47" xr6:coauthVersionMax="47" xr10:uidLastSave="{00000000-0000-0000-0000-000000000000}"/>
  <bookViews>
    <workbookView xWindow="432" yWindow="264" windowWidth="22764" windowHeight="12240" xr2:uid="{00000000-000D-0000-FFFF-FFFF00000000}"/>
  </bookViews>
  <sheets>
    <sheet name="Microgrid 1" sheetId="1" r:id="rId1"/>
    <sheet name="microgrid 2" sheetId="4" r:id="rId2"/>
    <sheet name="Microgrid 3" sheetId="5" r:id="rId3"/>
  </sheets>
  <definedNames>
    <definedName name="beta">'Microgrid 1'!$I$4</definedName>
    <definedName name="buying">'Microgrid 1'!$D$3:$D$26</definedName>
    <definedName name="c_dem">'Microgrid 1'!$I$11</definedName>
    <definedName name="cgas">'Microgrid 1'!$I$9</definedName>
    <definedName name="cost">#REF!</definedName>
    <definedName name="costs_1">#REF!</definedName>
    <definedName name="costs_a">#REF!</definedName>
    <definedName name="demand">'Microgrid 1'!$B$3:$B$26</definedName>
    <definedName name="domanda_tilde">#REF!</definedName>
    <definedName name="energy">#REF!</definedName>
    <definedName name="fg_1">#REF!</definedName>
    <definedName name="fg_a">#REF!</definedName>
    <definedName name="fgmax">'Microgrid 1'!$I$6</definedName>
    <definedName name="fL_tilde">#REF!</definedName>
    <definedName name="fL_tilde_a">#REF!</definedName>
    <definedName name="fLtilde_a">#REF!</definedName>
    <definedName name="fnmax">'Microgrid 1'!$I$10</definedName>
    <definedName name="fnr_1">#REF!</definedName>
    <definedName name="fNR_a">#REF!</definedName>
    <definedName name="fs_1">#REF!</definedName>
    <definedName name="fs_a">#REF!</definedName>
    <definedName name="fsmax">'Microgrid 1'!$I$5</definedName>
    <definedName name="generation">#REF!</definedName>
    <definedName name="grid">#REF!</definedName>
    <definedName name="pgridin">#REF!</definedName>
    <definedName name="pgridout">#REF!</definedName>
    <definedName name="renewables">'Microgrid 1'!$C$3:$C$26</definedName>
    <definedName name="selling">'Microgrid 1'!$E$3:$E$26</definedName>
    <definedName name="storage">#REF!</definedName>
    <definedName name="Text">'Microgrid 1'!#REF!</definedName>
    <definedName name="xmax">'Microgrid 1'!$I$8</definedName>
    <definedName name="xmin">'Microgrid 1'!$I$7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B27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<sst xmlns="http://schemas.openxmlformats.org/spreadsheetml/2006/main" count="50" uniqueCount="19">
  <si>
    <t>Time [hours]</t>
  </si>
  <si>
    <t>fL</t>
  </si>
  <si>
    <t>fR</t>
  </si>
  <si>
    <t>Bp</t>
  </si>
  <si>
    <t>Sp</t>
  </si>
  <si>
    <t xml:space="preserve">beta </t>
  </si>
  <si>
    <t>fsmax</t>
  </si>
  <si>
    <t>fgmax</t>
  </si>
  <si>
    <t>xmin</t>
  </si>
  <si>
    <t>xmax</t>
  </si>
  <si>
    <t>Cnr</t>
  </si>
  <si>
    <t>fnmax</t>
  </si>
  <si>
    <t>etach</t>
  </si>
  <si>
    <t>etadisch</t>
  </si>
  <si>
    <t>CAPsto</t>
  </si>
  <si>
    <t>SOCin</t>
  </si>
  <si>
    <t>External Temperature in Kelvin (Celsius +273)</t>
  </si>
  <si>
    <t>EV</t>
  </si>
  <si>
    <t>SOC at 18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</si>
</sst>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topLeftCell="A4" zoomScaleNormal="100" workbookViewId="0">
      <selection activeCell="G13" sqref="G13"/>
    </sheetView>
  </sheetViews>
  <sheetFormatPr defaultRowHeight="14.4" x14ac:dyDescent="0.3"/>
  <cols>
    <col min="1" max="1" width="12.88671875" customWidth="1"/>
  </cols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9" x14ac:dyDescent="0.3">
      <c r="A3">
        <v>1</v>
      </c>
      <c r="B3">
        <v>120</v>
      </c>
      <c r="C3">
        <v>0</v>
      </c>
      <c r="D3">
        <v>0.19800000000000001</v>
      </c>
      <c r="E3">
        <v>0.08</v>
      </c>
    </row>
    <row r="4" spans="1:9" x14ac:dyDescent="0.3">
      <c r="A4">
        <f t="shared" ref="A4:A26" si="0">A3+1</f>
        <v>2</v>
      </c>
      <c r="B4">
        <v>107</v>
      </c>
      <c r="C4">
        <v>0</v>
      </c>
      <c r="D4">
        <v>0.19800000000000001</v>
      </c>
      <c r="E4">
        <v>0.08</v>
      </c>
      <c r="H4" t="s">
        <v>5</v>
      </c>
      <c r="I4">
        <v>0.9</v>
      </c>
    </row>
    <row r="5" spans="1:9" x14ac:dyDescent="0.3">
      <c r="A5">
        <f t="shared" si="0"/>
        <v>3</v>
      </c>
      <c r="B5">
        <v>105</v>
      </c>
      <c r="C5">
        <v>0</v>
      </c>
      <c r="D5">
        <v>0.19800000000000001</v>
      </c>
      <c r="E5">
        <v>0.08</v>
      </c>
      <c r="H5" t="s">
        <v>6</v>
      </c>
      <c r="I5">
        <v>40</v>
      </c>
    </row>
    <row r="6" spans="1:9" x14ac:dyDescent="0.3">
      <c r="A6">
        <f t="shared" si="0"/>
        <v>4</v>
      </c>
      <c r="B6">
        <v>100</v>
      </c>
      <c r="C6">
        <v>0</v>
      </c>
      <c r="D6">
        <v>0.19800000000000001</v>
      </c>
      <c r="E6">
        <v>0.08</v>
      </c>
      <c r="H6" t="s">
        <v>7</v>
      </c>
      <c r="I6">
        <v>200</v>
      </c>
    </row>
    <row r="7" spans="1:9" x14ac:dyDescent="0.3">
      <c r="A7">
        <f t="shared" si="0"/>
        <v>5</v>
      </c>
      <c r="B7">
        <v>105</v>
      </c>
      <c r="C7">
        <v>0</v>
      </c>
      <c r="D7">
        <v>0.19800000000000001</v>
      </c>
      <c r="E7">
        <v>0.08</v>
      </c>
      <c r="H7" t="s">
        <v>8</v>
      </c>
      <c r="I7">
        <v>0.1</v>
      </c>
    </row>
    <row r="8" spans="1:9" x14ac:dyDescent="0.3">
      <c r="A8">
        <f t="shared" si="0"/>
        <v>6</v>
      </c>
      <c r="B8">
        <v>118</v>
      </c>
      <c r="C8">
        <v>0</v>
      </c>
      <c r="D8">
        <v>0.19800000000000001</v>
      </c>
      <c r="E8">
        <v>0.08</v>
      </c>
      <c r="H8" t="s">
        <v>9</v>
      </c>
      <c r="I8">
        <v>0.9</v>
      </c>
    </row>
    <row r="9" spans="1:9" x14ac:dyDescent="0.3">
      <c r="A9">
        <f t="shared" si="0"/>
        <v>7</v>
      </c>
      <c r="B9">
        <v>140</v>
      </c>
      <c r="C9">
        <v>4.7</v>
      </c>
      <c r="D9">
        <v>0.19800000000000001</v>
      </c>
      <c r="E9">
        <v>0.08</v>
      </c>
      <c r="H9" t="s">
        <v>10</v>
      </c>
      <c r="I9">
        <v>10</v>
      </c>
    </row>
    <row r="10" spans="1:9" x14ac:dyDescent="0.3">
      <c r="A10">
        <f t="shared" si="0"/>
        <v>8</v>
      </c>
      <c r="B10">
        <v>175</v>
      </c>
      <c r="C10">
        <v>16.899999999999999</v>
      </c>
      <c r="D10">
        <v>0.19800000000000001</v>
      </c>
      <c r="E10">
        <v>0.08</v>
      </c>
      <c r="H10" t="s">
        <v>11</v>
      </c>
      <c r="I10">
        <v>120</v>
      </c>
    </row>
    <row r="11" spans="1:9" x14ac:dyDescent="0.3">
      <c r="A11">
        <f t="shared" si="0"/>
        <v>9</v>
      </c>
      <c r="B11">
        <v>205</v>
      </c>
      <c r="C11">
        <v>31.2</v>
      </c>
      <c r="D11">
        <v>0.25600000000000001</v>
      </c>
      <c r="E11">
        <v>0.08</v>
      </c>
      <c r="H11" t="s">
        <v>12</v>
      </c>
      <c r="I11">
        <v>0.85</v>
      </c>
    </row>
    <row r="12" spans="1:9" x14ac:dyDescent="0.3">
      <c r="A12">
        <f t="shared" si="0"/>
        <v>10</v>
      </c>
      <c r="B12">
        <v>230</v>
      </c>
      <c r="C12">
        <v>43.6</v>
      </c>
      <c r="D12">
        <v>0.25600000000000001</v>
      </c>
      <c r="E12">
        <v>0.08</v>
      </c>
      <c r="H12" t="s">
        <v>13</v>
      </c>
      <c r="I12">
        <v>1.1499999999999999</v>
      </c>
    </row>
    <row r="13" spans="1:9" x14ac:dyDescent="0.3">
      <c r="A13">
        <f t="shared" si="0"/>
        <v>11</v>
      </c>
      <c r="B13">
        <v>250</v>
      </c>
      <c r="C13">
        <v>53.04</v>
      </c>
      <c r="D13">
        <v>0.25600000000000001</v>
      </c>
      <c r="E13">
        <v>0.08</v>
      </c>
      <c r="H13" t="s">
        <v>14</v>
      </c>
      <c r="I13">
        <v>200</v>
      </c>
    </row>
    <row r="14" spans="1:9" x14ac:dyDescent="0.3">
      <c r="A14">
        <f t="shared" si="0"/>
        <v>12</v>
      </c>
      <c r="B14">
        <v>250</v>
      </c>
      <c r="C14">
        <v>58.7</v>
      </c>
      <c r="D14">
        <v>0.25600000000000001</v>
      </c>
      <c r="E14">
        <v>0.08</v>
      </c>
      <c r="H14" t="s">
        <v>15</v>
      </c>
      <c r="I14">
        <v>0.3</v>
      </c>
    </row>
    <row r="15" spans="1:9" x14ac:dyDescent="0.3">
      <c r="A15">
        <f t="shared" si="0"/>
        <v>13</v>
      </c>
      <c r="B15">
        <v>250</v>
      </c>
      <c r="C15">
        <v>60.2</v>
      </c>
      <c r="D15">
        <v>0.25600000000000001</v>
      </c>
      <c r="E15">
        <v>0.08</v>
      </c>
    </row>
    <row r="16" spans="1:9" x14ac:dyDescent="0.3">
      <c r="A16">
        <f t="shared" si="0"/>
        <v>14</v>
      </c>
      <c r="B16">
        <v>250</v>
      </c>
      <c r="C16">
        <v>57.5</v>
      </c>
      <c r="D16">
        <v>0.25600000000000001</v>
      </c>
      <c r="E16">
        <v>0.08</v>
      </c>
    </row>
    <row r="17" spans="1:5" x14ac:dyDescent="0.3">
      <c r="A17">
        <f t="shared" si="0"/>
        <v>15</v>
      </c>
      <c r="B17">
        <v>228</v>
      </c>
      <c r="C17">
        <v>50.8</v>
      </c>
      <c r="D17">
        <v>0.25600000000000001</v>
      </c>
      <c r="E17">
        <v>0.08</v>
      </c>
    </row>
    <row r="18" spans="1:5" x14ac:dyDescent="0.3">
      <c r="A18">
        <f t="shared" si="0"/>
        <v>16</v>
      </c>
      <c r="B18">
        <v>220</v>
      </c>
      <c r="C18">
        <v>40.299999999999997</v>
      </c>
      <c r="D18">
        <v>0.25600000000000001</v>
      </c>
      <c r="E18">
        <v>0.08</v>
      </c>
    </row>
    <row r="19" spans="1:5" x14ac:dyDescent="0.3">
      <c r="A19">
        <f t="shared" si="0"/>
        <v>17</v>
      </c>
      <c r="B19">
        <v>190</v>
      </c>
      <c r="C19">
        <v>26.7</v>
      </c>
      <c r="D19">
        <v>0.25600000000000001</v>
      </c>
      <c r="E19">
        <v>0.08</v>
      </c>
    </row>
    <row r="20" spans="1:5" x14ac:dyDescent="0.3">
      <c r="A20">
        <f t="shared" si="0"/>
        <v>18</v>
      </c>
      <c r="B20">
        <v>190</v>
      </c>
      <c r="C20">
        <v>11.6</v>
      </c>
      <c r="D20">
        <v>0.25600000000000001</v>
      </c>
      <c r="E20">
        <v>0.08</v>
      </c>
    </row>
    <row r="21" spans="1:5" x14ac:dyDescent="0.3">
      <c r="A21">
        <f t="shared" si="0"/>
        <v>19</v>
      </c>
      <c r="B21">
        <v>160</v>
      </c>
      <c r="C21">
        <v>2.2000000000000002</v>
      </c>
      <c r="D21">
        <v>0.25600000000000001</v>
      </c>
      <c r="E21">
        <v>0.08</v>
      </c>
    </row>
    <row r="22" spans="1:5" x14ac:dyDescent="0.3">
      <c r="A22">
        <f t="shared" si="0"/>
        <v>20</v>
      </c>
      <c r="B22">
        <v>150</v>
      </c>
      <c r="C22">
        <v>0</v>
      </c>
      <c r="D22">
        <v>0.19800000000000001</v>
      </c>
      <c r="E22">
        <v>0.08</v>
      </c>
    </row>
    <row r="23" spans="1:5" x14ac:dyDescent="0.3">
      <c r="A23">
        <f t="shared" si="0"/>
        <v>21</v>
      </c>
      <c r="B23">
        <v>150</v>
      </c>
      <c r="C23">
        <v>0</v>
      </c>
      <c r="D23">
        <v>0.19800000000000001</v>
      </c>
      <c r="E23">
        <v>0.08</v>
      </c>
    </row>
    <row r="24" spans="1:5" x14ac:dyDescent="0.3">
      <c r="A24">
        <f t="shared" si="0"/>
        <v>22</v>
      </c>
      <c r="B24">
        <v>145</v>
      </c>
      <c r="C24">
        <v>0</v>
      </c>
      <c r="D24">
        <v>0.19800000000000001</v>
      </c>
      <c r="E24">
        <v>0.08</v>
      </c>
    </row>
    <row r="25" spans="1:5" x14ac:dyDescent="0.3">
      <c r="A25">
        <f t="shared" si="0"/>
        <v>23</v>
      </c>
      <c r="B25">
        <v>125</v>
      </c>
      <c r="C25">
        <v>0</v>
      </c>
      <c r="D25">
        <v>0.19800000000000001</v>
      </c>
      <c r="E25">
        <v>0.08</v>
      </c>
    </row>
    <row r="26" spans="1:5" x14ac:dyDescent="0.3">
      <c r="A26">
        <f t="shared" si="0"/>
        <v>24</v>
      </c>
      <c r="B26">
        <v>118</v>
      </c>
      <c r="C26">
        <v>0</v>
      </c>
      <c r="D26">
        <v>0.19800000000000001</v>
      </c>
      <c r="E26">
        <v>0.08</v>
      </c>
    </row>
    <row r="27" spans="1:5" x14ac:dyDescent="0.3">
      <c r="B27" s="1">
        <f>SUM(B3:B26)</f>
        <v>4081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1087-8A24-4AED-9E91-80E2872DED41}">
  <dimension ref="A1:J25"/>
  <sheetViews>
    <sheetView topLeftCell="A8" workbookViewId="0">
      <selection activeCell="J15" sqref="J15"/>
    </sheetView>
  </sheetViews>
  <sheetFormatPr defaultRowHeight="14.4" x14ac:dyDescent="0.3"/>
  <cols>
    <col min="7" max="7" width="27.33203125" customWidth="1"/>
    <col min="9" max="9" width="18.109375" customWidth="1"/>
  </cols>
  <sheetData>
    <row r="1" spans="1:10" ht="42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16</v>
      </c>
    </row>
    <row r="2" spans="1:10" x14ac:dyDescent="0.3">
      <c r="A2">
        <v>1</v>
      </c>
      <c r="B2">
        <v>60</v>
      </c>
      <c r="C2">
        <v>19</v>
      </c>
      <c r="D2">
        <v>0.19800000000000001</v>
      </c>
      <c r="E2">
        <v>0.08</v>
      </c>
      <c r="G2">
        <v>276</v>
      </c>
    </row>
    <row r="3" spans="1:10" x14ac:dyDescent="0.3">
      <c r="A3">
        <f t="shared" ref="A3:A25" si="0">A2+1</f>
        <v>2</v>
      </c>
      <c r="B3">
        <v>47</v>
      </c>
      <c r="C3">
        <v>29</v>
      </c>
      <c r="D3">
        <v>0.19800000000000001</v>
      </c>
      <c r="E3">
        <v>0.08</v>
      </c>
      <c r="G3">
        <v>276</v>
      </c>
      <c r="I3" t="s">
        <v>5</v>
      </c>
      <c r="J3">
        <v>0.9</v>
      </c>
    </row>
    <row r="4" spans="1:10" x14ac:dyDescent="0.3">
      <c r="A4">
        <f t="shared" si="0"/>
        <v>3</v>
      </c>
      <c r="B4">
        <v>45</v>
      </c>
      <c r="C4">
        <v>39</v>
      </c>
      <c r="D4">
        <v>0.19800000000000001</v>
      </c>
      <c r="E4">
        <v>0.08</v>
      </c>
      <c r="G4">
        <v>276</v>
      </c>
      <c r="I4" t="s">
        <v>6</v>
      </c>
      <c r="J4">
        <v>40</v>
      </c>
    </row>
    <row r="5" spans="1:10" x14ac:dyDescent="0.3">
      <c r="A5">
        <f t="shared" si="0"/>
        <v>4</v>
      </c>
      <c r="B5">
        <v>40</v>
      </c>
      <c r="C5">
        <v>49</v>
      </c>
      <c r="D5">
        <v>0.19800000000000001</v>
      </c>
      <c r="E5">
        <v>0.08</v>
      </c>
      <c r="G5">
        <v>278</v>
      </c>
      <c r="I5" t="s">
        <v>7</v>
      </c>
      <c r="J5">
        <v>200</v>
      </c>
    </row>
    <row r="6" spans="1:10" x14ac:dyDescent="0.3">
      <c r="A6">
        <f t="shared" si="0"/>
        <v>5</v>
      </c>
      <c r="B6">
        <v>45</v>
      </c>
      <c r="C6">
        <v>59</v>
      </c>
      <c r="D6">
        <v>0.19800000000000001</v>
      </c>
      <c r="E6">
        <v>0.08</v>
      </c>
      <c r="G6">
        <v>278</v>
      </c>
      <c r="I6" t="s">
        <v>8</v>
      </c>
      <c r="J6">
        <v>0.1</v>
      </c>
    </row>
    <row r="7" spans="1:10" x14ac:dyDescent="0.3">
      <c r="A7">
        <f t="shared" si="0"/>
        <v>6</v>
      </c>
      <c r="B7">
        <v>58</v>
      </c>
      <c r="C7">
        <v>69</v>
      </c>
      <c r="D7">
        <v>0.19800000000000001</v>
      </c>
      <c r="E7">
        <v>0.08</v>
      </c>
      <c r="G7">
        <v>280</v>
      </c>
      <c r="I7" t="s">
        <v>9</v>
      </c>
      <c r="J7">
        <v>0.9</v>
      </c>
    </row>
    <row r="8" spans="1:10" x14ac:dyDescent="0.3">
      <c r="A8">
        <f t="shared" si="0"/>
        <v>7</v>
      </c>
      <c r="B8">
        <v>80</v>
      </c>
      <c r="C8">
        <v>79</v>
      </c>
      <c r="D8">
        <v>0.19800000000000001</v>
      </c>
      <c r="E8">
        <v>0.08</v>
      </c>
      <c r="G8">
        <v>280</v>
      </c>
    </row>
    <row r="9" spans="1:10" x14ac:dyDescent="0.3">
      <c r="A9">
        <f t="shared" si="0"/>
        <v>8</v>
      </c>
      <c r="B9">
        <v>115</v>
      </c>
      <c r="C9">
        <v>89</v>
      </c>
      <c r="D9">
        <v>0.19800000000000001</v>
      </c>
      <c r="E9">
        <v>0.08</v>
      </c>
      <c r="G9">
        <v>280</v>
      </c>
      <c r="I9" t="s">
        <v>17</v>
      </c>
    </row>
    <row r="10" spans="1:10" x14ac:dyDescent="0.3">
      <c r="A10">
        <f t="shared" si="0"/>
        <v>9</v>
      </c>
      <c r="B10">
        <v>145</v>
      </c>
      <c r="C10">
        <v>99</v>
      </c>
      <c r="D10">
        <v>0.25600000000000001</v>
      </c>
      <c r="E10">
        <v>0.08</v>
      </c>
      <c r="G10">
        <v>281</v>
      </c>
      <c r="I10" t="s">
        <v>12</v>
      </c>
      <c r="J10">
        <v>0.85</v>
      </c>
    </row>
    <row r="11" spans="1:10" x14ac:dyDescent="0.3">
      <c r="A11">
        <f t="shared" si="0"/>
        <v>10</v>
      </c>
      <c r="B11">
        <v>130</v>
      </c>
      <c r="C11">
        <v>109</v>
      </c>
      <c r="D11">
        <v>0.25600000000000001</v>
      </c>
      <c r="E11">
        <v>0.08</v>
      </c>
      <c r="G11">
        <v>283</v>
      </c>
      <c r="I11" t="s">
        <v>13</v>
      </c>
      <c r="J11">
        <v>1.1499999999999999</v>
      </c>
    </row>
    <row r="12" spans="1:10" x14ac:dyDescent="0.3">
      <c r="A12">
        <f t="shared" si="0"/>
        <v>11</v>
      </c>
      <c r="B12">
        <v>150</v>
      </c>
      <c r="C12">
        <v>89</v>
      </c>
      <c r="D12">
        <v>0.25600000000000001</v>
      </c>
      <c r="E12">
        <v>0.08</v>
      </c>
      <c r="G12">
        <v>285</v>
      </c>
      <c r="I12" t="s">
        <v>14</v>
      </c>
      <c r="J12">
        <v>500</v>
      </c>
    </row>
    <row r="13" spans="1:10" x14ac:dyDescent="0.3">
      <c r="A13">
        <f t="shared" si="0"/>
        <v>12</v>
      </c>
      <c r="B13">
        <v>150</v>
      </c>
      <c r="C13">
        <v>99</v>
      </c>
      <c r="D13">
        <v>0.25600000000000001</v>
      </c>
      <c r="E13">
        <v>0.08</v>
      </c>
      <c r="G13">
        <v>286</v>
      </c>
      <c r="I13" t="s">
        <v>18</v>
      </c>
      <c r="J13">
        <v>0.8</v>
      </c>
    </row>
    <row r="14" spans="1:10" x14ac:dyDescent="0.3">
      <c r="A14">
        <f t="shared" si="0"/>
        <v>13</v>
      </c>
      <c r="B14">
        <v>150</v>
      </c>
      <c r="C14">
        <v>79</v>
      </c>
      <c r="D14">
        <v>0.25600000000000001</v>
      </c>
      <c r="E14">
        <v>0.08</v>
      </c>
      <c r="G14">
        <v>287</v>
      </c>
      <c r="I14" t="s">
        <v>15</v>
      </c>
      <c r="J14">
        <v>0.2</v>
      </c>
    </row>
    <row r="15" spans="1:10" x14ac:dyDescent="0.3">
      <c r="A15">
        <f t="shared" si="0"/>
        <v>14</v>
      </c>
      <c r="B15">
        <v>90</v>
      </c>
      <c r="C15">
        <v>89</v>
      </c>
      <c r="D15">
        <v>0.25600000000000001</v>
      </c>
      <c r="E15">
        <v>0.08</v>
      </c>
      <c r="G15">
        <v>288</v>
      </c>
    </row>
    <row r="16" spans="1:10" x14ac:dyDescent="0.3">
      <c r="A16">
        <f t="shared" si="0"/>
        <v>15</v>
      </c>
      <c r="B16">
        <v>90</v>
      </c>
      <c r="C16">
        <v>99</v>
      </c>
      <c r="D16">
        <v>0.25600000000000001</v>
      </c>
      <c r="E16">
        <v>0.08</v>
      </c>
      <c r="G16">
        <v>288</v>
      </c>
    </row>
    <row r="17" spans="1:7" x14ac:dyDescent="0.3">
      <c r="A17">
        <f t="shared" si="0"/>
        <v>16</v>
      </c>
      <c r="B17">
        <v>90</v>
      </c>
      <c r="C17">
        <v>109</v>
      </c>
      <c r="D17">
        <v>0.25600000000000001</v>
      </c>
      <c r="E17">
        <v>0.08</v>
      </c>
      <c r="G17">
        <v>288</v>
      </c>
    </row>
    <row r="18" spans="1:7" x14ac:dyDescent="0.3">
      <c r="A18">
        <f t="shared" si="0"/>
        <v>17</v>
      </c>
      <c r="B18">
        <v>90</v>
      </c>
      <c r="C18">
        <v>119</v>
      </c>
      <c r="D18">
        <v>0.25600000000000001</v>
      </c>
      <c r="E18">
        <v>0.08</v>
      </c>
      <c r="G18">
        <v>286</v>
      </c>
    </row>
    <row r="19" spans="1:7" x14ac:dyDescent="0.3">
      <c r="A19">
        <f t="shared" si="0"/>
        <v>18</v>
      </c>
      <c r="B19">
        <v>90</v>
      </c>
      <c r="C19">
        <v>129</v>
      </c>
      <c r="D19">
        <v>0.25600000000000001</v>
      </c>
      <c r="E19">
        <v>0.08</v>
      </c>
      <c r="G19">
        <v>284</v>
      </c>
    </row>
    <row r="20" spans="1:7" x14ac:dyDescent="0.3">
      <c r="A20">
        <f t="shared" si="0"/>
        <v>19</v>
      </c>
      <c r="B20">
        <v>60</v>
      </c>
      <c r="C20">
        <v>139</v>
      </c>
      <c r="D20">
        <v>0.25600000000000001</v>
      </c>
      <c r="E20">
        <v>0.08</v>
      </c>
      <c r="G20">
        <v>280</v>
      </c>
    </row>
    <row r="21" spans="1:7" x14ac:dyDescent="0.3">
      <c r="A21">
        <f t="shared" si="0"/>
        <v>20</v>
      </c>
      <c r="B21">
        <v>50</v>
      </c>
      <c r="C21">
        <v>149</v>
      </c>
      <c r="D21">
        <v>0.19800000000000001</v>
      </c>
      <c r="E21">
        <v>0.08</v>
      </c>
      <c r="G21">
        <v>279</v>
      </c>
    </row>
    <row r="22" spans="1:7" x14ac:dyDescent="0.3">
      <c r="A22">
        <f t="shared" si="0"/>
        <v>21</v>
      </c>
      <c r="B22">
        <v>50</v>
      </c>
      <c r="C22">
        <v>159</v>
      </c>
      <c r="D22">
        <v>0.19800000000000001</v>
      </c>
      <c r="E22">
        <v>0.08</v>
      </c>
      <c r="G22">
        <v>279</v>
      </c>
    </row>
    <row r="23" spans="1:7" x14ac:dyDescent="0.3">
      <c r="A23">
        <f t="shared" si="0"/>
        <v>22</v>
      </c>
      <c r="B23">
        <v>45</v>
      </c>
      <c r="C23">
        <v>169</v>
      </c>
      <c r="D23">
        <v>0.19800000000000001</v>
      </c>
      <c r="E23">
        <v>0.08</v>
      </c>
      <c r="G23">
        <v>278</v>
      </c>
    </row>
    <row r="24" spans="1:7" x14ac:dyDescent="0.3">
      <c r="A24">
        <f t="shared" si="0"/>
        <v>23</v>
      </c>
      <c r="B24">
        <v>25</v>
      </c>
      <c r="C24">
        <v>179</v>
      </c>
      <c r="D24">
        <v>0.19800000000000001</v>
      </c>
      <c r="E24">
        <v>0.08</v>
      </c>
      <c r="G24">
        <v>277</v>
      </c>
    </row>
    <row r="25" spans="1:7" x14ac:dyDescent="0.3">
      <c r="A25">
        <f t="shared" si="0"/>
        <v>24</v>
      </c>
      <c r="B25">
        <v>18</v>
      </c>
      <c r="C25">
        <v>189</v>
      </c>
      <c r="D25">
        <v>0.19800000000000001</v>
      </c>
      <c r="E25">
        <v>0.08</v>
      </c>
      <c r="G25">
        <v>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3F55-FF4D-4113-91B5-DA3321C41534}">
  <dimension ref="A1:J25"/>
  <sheetViews>
    <sheetView workbookViewId="0">
      <selection activeCell="A2" sqref="A2"/>
    </sheetView>
  </sheetViews>
  <sheetFormatPr defaultRowHeight="14.4" x14ac:dyDescent="0.3"/>
  <cols>
    <col min="7" max="7" width="34.33203125" customWidth="1"/>
  </cols>
  <sheetData>
    <row r="1" spans="1:10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16</v>
      </c>
    </row>
    <row r="2" spans="1:10" x14ac:dyDescent="0.3">
      <c r="A2">
        <v>1</v>
      </c>
      <c r="B2">
        <v>233</v>
      </c>
      <c r="C2">
        <v>0</v>
      </c>
      <c r="D2">
        <v>0.19800000000000001</v>
      </c>
      <c r="E2">
        <v>0.08</v>
      </c>
      <c r="G2">
        <v>276</v>
      </c>
    </row>
    <row r="3" spans="1:10" x14ac:dyDescent="0.3">
      <c r="A3">
        <f t="shared" ref="A3:A25" si="0">A2+1</f>
        <v>2</v>
      </c>
      <c r="B3">
        <v>207</v>
      </c>
      <c r="C3">
        <v>0</v>
      </c>
      <c r="D3">
        <v>0.19800000000000001</v>
      </c>
      <c r="E3">
        <v>0.08</v>
      </c>
      <c r="G3">
        <v>276</v>
      </c>
      <c r="I3" t="s">
        <v>5</v>
      </c>
      <c r="J3">
        <v>0.9</v>
      </c>
    </row>
    <row r="4" spans="1:10" x14ac:dyDescent="0.3">
      <c r="A4">
        <f t="shared" si="0"/>
        <v>3</v>
      </c>
      <c r="B4">
        <v>203</v>
      </c>
      <c r="C4">
        <v>0</v>
      </c>
      <c r="D4">
        <v>0.19800000000000001</v>
      </c>
      <c r="E4">
        <v>0.08</v>
      </c>
      <c r="G4">
        <v>276</v>
      </c>
      <c r="I4" t="s">
        <v>6</v>
      </c>
      <c r="J4">
        <v>40</v>
      </c>
    </row>
    <row r="5" spans="1:10" x14ac:dyDescent="0.3">
      <c r="A5">
        <f t="shared" si="0"/>
        <v>4</v>
      </c>
      <c r="B5">
        <v>193</v>
      </c>
      <c r="C5">
        <v>0</v>
      </c>
      <c r="D5">
        <v>0.19800000000000001</v>
      </c>
      <c r="E5">
        <v>0.08</v>
      </c>
      <c r="G5">
        <v>278</v>
      </c>
      <c r="I5" t="s">
        <v>7</v>
      </c>
      <c r="J5">
        <v>200</v>
      </c>
    </row>
    <row r="6" spans="1:10" x14ac:dyDescent="0.3">
      <c r="A6">
        <f t="shared" si="0"/>
        <v>5</v>
      </c>
      <c r="B6">
        <v>203</v>
      </c>
      <c r="C6">
        <v>0</v>
      </c>
      <c r="D6">
        <v>0.19800000000000001</v>
      </c>
      <c r="E6">
        <v>0.08</v>
      </c>
      <c r="G6">
        <v>278</v>
      </c>
      <c r="I6" t="s">
        <v>8</v>
      </c>
      <c r="J6">
        <v>0.1</v>
      </c>
    </row>
    <row r="7" spans="1:10" x14ac:dyDescent="0.3">
      <c r="A7">
        <f t="shared" si="0"/>
        <v>6</v>
      </c>
      <c r="B7">
        <v>229</v>
      </c>
      <c r="C7">
        <v>0</v>
      </c>
      <c r="D7">
        <v>0.19800000000000001</v>
      </c>
      <c r="E7">
        <v>0.08</v>
      </c>
      <c r="G7">
        <v>280</v>
      </c>
      <c r="I7" t="s">
        <v>9</v>
      </c>
      <c r="J7">
        <v>0.9</v>
      </c>
    </row>
    <row r="8" spans="1:10" x14ac:dyDescent="0.3">
      <c r="A8">
        <f t="shared" si="0"/>
        <v>7</v>
      </c>
      <c r="B8">
        <v>273</v>
      </c>
      <c r="C8">
        <v>42.300000000000004</v>
      </c>
      <c r="D8">
        <v>0.19800000000000001</v>
      </c>
      <c r="E8">
        <v>0.08</v>
      </c>
      <c r="G8">
        <v>280</v>
      </c>
      <c r="J8">
        <v>10</v>
      </c>
    </row>
    <row r="9" spans="1:10" x14ac:dyDescent="0.3">
      <c r="A9">
        <f t="shared" si="0"/>
        <v>8</v>
      </c>
      <c r="B9">
        <v>343</v>
      </c>
      <c r="C9">
        <v>152.1</v>
      </c>
      <c r="D9">
        <v>0.19800000000000001</v>
      </c>
      <c r="E9">
        <v>0.08</v>
      </c>
      <c r="G9">
        <v>280</v>
      </c>
      <c r="J9">
        <v>120</v>
      </c>
    </row>
    <row r="10" spans="1:10" x14ac:dyDescent="0.3">
      <c r="A10">
        <f t="shared" si="0"/>
        <v>9</v>
      </c>
      <c r="B10">
        <v>403</v>
      </c>
      <c r="C10">
        <v>280.8</v>
      </c>
      <c r="D10">
        <v>0.25600000000000001</v>
      </c>
      <c r="E10">
        <v>0.08</v>
      </c>
      <c r="G10">
        <v>281</v>
      </c>
      <c r="I10" t="s">
        <v>12</v>
      </c>
      <c r="J10">
        <v>0.85</v>
      </c>
    </row>
    <row r="11" spans="1:10" x14ac:dyDescent="0.3">
      <c r="A11">
        <f t="shared" si="0"/>
        <v>10</v>
      </c>
      <c r="B11">
        <v>453</v>
      </c>
      <c r="C11">
        <v>392.40000000000003</v>
      </c>
      <c r="D11">
        <v>0.25600000000000001</v>
      </c>
      <c r="E11">
        <v>0.08</v>
      </c>
      <c r="G11">
        <v>283</v>
      </c>
      <c r="I11" t="s">
        <v>13</v>
      </c>
      <c r="J11">
        <v>1.1499999999999999</v>
      </c>
    </row>
    <row r="12" spans="1:10" x14ac:dyDescent="0.3">
      <c r="A12">
        <f t="shared" si="0"/>
        <v>11</v>
      </c>
      <c r="B12">
        <v>493</v>
      </c>
      <c r="C12">
        <v>477.36</v>
      </c>
      <c r="D12">
        <v>0.25600000000000001</v>
      </c>
      <c r="E12">
        <v>0.08</v>
      </c>
      <c r="G12">
        <v>285</v>
      </c>
      <c r="I12" t="s">
        <v>12</v>
      </c>
      <c r="J12">
        <v>0.85</v>
      </c>
    </row>
    <row r="13" spans="1:10" x14ac:dyDescent="0.3">
      <c r="A13">
        <f t="shared" si="0"/>
        <v>12</v>
      </c>
      <c r="B13">
        <v>493</v>
      </c>
      <c r="C13">
        <v>528.30000000000007</v>
      </c>
      <c r="D13">
        <v>0.25600000000000001</v>
      </c>
      <c r="E13">
        <v>0.08</v>
      </c>
      <c r="G13">
        <v>286</v>
      </c>
      <c r="I13" t="s">
        <v>13</v>
      </c>
      <c r="J13">
        <v>1.1499999999999999</v>
      </c>
    </row>
    <row r="14" spans="1:10" x14ac:dyDescent="0.3">
      <c r="A14">
        <f t="shared" si="0"/>
        <v>13</v>
      </c>
      <c r="B14">
        <v>493</v>
      </c>
      <c r="C14">
        <v>541.80000000000007</v>
      </c>
      <c r="D14">
        <v>0.25600000000000001</v>
      </c>
      <c r="E14">
        <v>0.08</v>
      </c>
      <c r="G14">
        <v>287</v>
      </c>
      <c r="I14" t="s">
        <v>14</v>
      </c>
      <c r="J14">
        <v>800</v>
      </c>
    </row>
    <row r="15" spans="1:10" x14ac:dyDescent="0.3">
      <c r="A15">
        <f t="shared" si="0"/>
        <v>14</v>
      </c>
      <c r="B15">
        <v>493</v>
      </c>
      <c r="C15">
        <v>517.5</v>
      </c>
      <c r="D15">
        <v>0.25600000000000001</v>
      </c>
      <c r="E15">
        <v>0.08</v>
      </c>
      <c r="G15">
        <v>288</v>
      </c>
      <c r="I15" t="s">
        <v>15</v>
      </c>
      <c r="J15">
        <v>0.2</v>
      </c>
    </row>
    <row r="16" spans="1:10" x14ac:dyDescent="0.3">
      <c r="A16">
        <f t="shared" si="0"/>
        <v>15</v>
      </c>
      <c r="B16">
        <v>912</v>
      </c>
      <c r="C16">
        <v>457.2</v>
      </c>
      <c r="D16">
        <v>0.25600000000000001</v>
      </c>
      <c r="E16">
        <v>0.08</v>
      </c>
      <c r="G16">
        <v>288</v>
      </c>
    </row>
    <row r="17" spans="1:7" x14ac:dyDescent="0.3">
      <c r="A17">
        <f t="shared" si="0"/>
        <v>16</v>
      </c>
      <c r="B17">
        <v>300</v>
      </c>
      <c r="C17">
        <v>362.7</v>
      </c>
      <c r="D17">
        <v>0.25600000000000001</v>
      </c>
      <c r="E17">
        <v>0.08</v>
      </c>
      <c r="G17">
        <v>288</v>
      </c>
    </row>
    <row r="18" spans="1:7" x14ac:dyDescent="0.3">
      <c r="A18">
        <f t="shared" si="0"/>
        <v>17</v>
      </c>
      <c r="B18">
        <v>760</v>
      </c>
      <c r="C18">
        <v>240.29999999999998</v>
      </c>
      <c r="D18">
        <v>0.25600000000000001</v>
      </c>
      <c r="E18">
        <v>0.08</v>
      </c>
      <c r="G18">
        <v>286</v>
      </c>
    </row>
    <row r="19" spans="1:7" x14ac:dyDescent="0.3">
      <c r="A19">
        <f t="shared" si="0"/>
        <v>18</v>
      </c>
      <c r="B19">
        <v>760</v>
      </c>
      <c r="C19">
        <v>104.39999999999999</v>
      </c>
      <c r="D19">
        <v>0.25600000000000001</v>
      </c>
      <c r="E19">
        <v>0.08</v>
      </c>
      <c r="G19">
        <v>284</v>
      </c>
    </row>
    <row r="20" spans="1:7" x14ac:dyDescent="0.3">
      <c r="A20">
        <f t="shared" si="0"/>
        <v>19</v>
      </c>
      <c r="B20">
        <v>313</v>
      </c>
      <c r="C20">
        <v>19.8</v>
      </c>
      <c r="D20">
        <v>0.25600000000000001</v>
      </c>
      <c r="E20">
        <v>0.08</v>
      </c>
      <c r="G20">
        <v>280</v>
      </c>
    </row>
    <row r="21" spans="1:7" x14ac:dyDescent="0.3">
      <c r="A21">
        <f t="shared" si="0"/>
        <v>20</v>
      </c>
      <c r="B21">
        <v>293</v>
      </c>
      <c r="C21">
        <v>0</v>
      </c>
      <c r="D21">
        <v>0.19800000000000001</v>
      </c>
      <c r="E21">
        <v>0.08</v>
      </c>
      <c r="G21">
        <v>279</v>
      </c>
    </row>
    <row r="22" spans="1:7" x14ac:dyDescent="0.3">
      <c r="A22">
        <f t="shared" si="0"/>
        <v>21</v>
      </c>
      <c r="B22">
        <v>293</v>
      </c>
      <c r="C22">
        <v>0</v>
      </c>
      <c r="D22">
        <v>0.19800000000000001</v>
      </c>
      <c r="E22">
        <v>0.08</v>
      </c>
      <c r="G22">
        <v>279</v>
      </c>
    </row>
    <row r="23" spans="1:7" x14ac:dyDescent="0.3">
      <c r="A23">
        <f t="shared" si="0"/>
        <v>22</v>
      </c>
      <c r="B23">
        <v>283</v>
      </c>
      <c r="C23">
        <v>0</v>
      </c>
      <c r="D23">
        <v>0.19800000000000001</v>
      </c>
      <c r="E23">
        <v>0.08</v>
      </c>
      <c r="G23">
        <v>278</v>
      </c>
    </row>
    <row r="24" spans="1:7" x14ac:dyDescent="0.3">
      <c r="A24">
        <f t="shared" si="0"/>
        <v>23</v>
      </c>
      <c r="B24">
        <v>243</v>
      </c>
      <c r="C24">
        <v>0</v>
      </c>
      <c r="D24">
        <v>0.19800000000000001</v>
      </c>
      <c r="E24">
        <v>0.08</v>
      </c>
      <c r="G24">
        <v>277</v>
      </c>
    </row>
    <row r="25" spans="1:7" x14ac:dyDescent="0.3">
      <c r="A25">
        <f t="shared" si="0"/>
        <v>24</v>
      </c>
      <c r="B25">
        <v>200</v>
      </c>
      <c r="C25">
        <v>0</v>
      </c>
      <c r="D25">
        <v>0.19800000000000001</v>
      </c>
      <c r="E25">
        <v>0.08</v>
      </c>
      <c r="G25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BD7DA3DC140244AF67279E90DE4A6A" ma:contentTypeVersion="12" ma:contentTypeDescription="Creare un nuovo documento." ma:contentTypeScope="" ma:versionID="1017a7ff4cea7e96a2d90fb1b3241f65">
  <xsd:schema xmlns:xsd="http://www.w3.org/2001/XMLSchema" xmlns:xs="http://www.w3.org/2001/XMLSchema" xmlns:p="http://schemas.microsoft.com/office/2006/metadata/properties" xmlns:ns2="523f7f0a-2850-4a12-9588-e72741669fbd" xmlns:ns3="c9ea4416-e30f-4369-b64d-e032db98444d" targetNamespace="http://schemas.microsoft.com/office/2006/metadata/properties" ma:root="true" ma:fieldsID="6ff254b0c7b286c5142d9ed17b50fa6d" ns2:_="" ns3:_="">
    <xsd:import namespace="523f7f0a-2850-4a12-9588-e72741669fbd"/>
    <xsd:import namespace="c9ea4416-e30f-4369-b64d-e032db9844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f7f0a-2850-4a12-9588-e72741669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a4416-e30f-4369-b64d-e032db98444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F22902-3C6B-4FD6-8998-A918899E3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3f7f0a-2850-4a12-9588-e72741669fbd"/>
    <ds:schemaRef ds:uri="c9ea4416-e30f-4369-b64d-e032db9844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98FC6-945D-40D0-A4FC-2D4232891C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CE80318-B5AA-4AD0-B91B-7577E2DFE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Microgrid 1</vt:lpstr>
      <vt:lpstr>microgrid 2</vt:lpstr>
      <vt:lpstr>Microgrid 3</vt:lpstr>
      <vt:lpstr>beta</vt:lpstr>
      <vt:lpstr>buying</vt:lpstr>
      <vt:lpstr>c_dem</vt:lpstr>
      <vt:lpstr>cgas</vt:lpstr>
      <vt:lpstr>demand</vt:lpstr>
      <vt:lpstr>fgmax</vt:lpstr>
      <vt:lpstr>fnmax</vt:lpstr>
      <vt:lpstr>fsmax</vt:lpstr>
      <vt:lpstr>renewables</vt:lpstr>
      <vt:lpstr>selling</vt:lpstr>
      <vt:lpstr>xmax</vt:lpstr>
      <vt:lpstr>xmin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Miki</dc:creator>
  <cp:keywords/>
  <dc:description/>
  <cp:lastModifiedBy>TEH EMMANUEL KIMBI</cp:lastModifiedBy>
  <cp:revision/>
  <dcterms:created xsi:type="dcterms:W3CDTF">2019-10-15T08:55:32Z</dcterms:created>
  <dcterms:modified xsi:type="dcterms:W3CDTF">2026-07-22T11:35:52Z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0x0101000EBD7DA3DC140244AF67279E90DE4A6A</vt:lpwstr>
  </property>
</Properties>
</file>